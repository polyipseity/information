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information\private\special\academia\HKUST\CIVL 1100\lab 1\"/>
    </mc:Choice>
  </mc:AlternateContent>
  <xr:revisionPtr revIDLastSave="0" documentId="13_ncr:1_{B3849F61-8EF7-4814-A147-57E1C5010826}" xr6:coauthVersionLast="47" xr6:coauthVersionMax="47" xr10:uidLastSave="{00000000-0000-0000-0000-000000000000}"/>
  <bookViews>
    <workbookView xWindow="-96" yWindow="-96" windowWidth="23232" windowHeight="12432" activeTab="1" xr2:uid="{C4332098-69AA-4D70-AF3A-609AE01005F8}"/>
  </bookViews>
  <sheets>
    <sheet name="three pinned arch" sheetId="1" r:id="rId1"/>
    <sheet name="determinate struc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<sst xmlns="http://schemas.openxmlformats.org/spreadsheetml/2006/main" count="17" uniqueCount="15">
  <si>
    <t>mass (g)</t>
    <phoneticPr fontId="2" type="noConversion"/>
  </si>
  <si>
    <t>distance from the left (mm)</t>
    <phoneticPr fontId="2" type="noConversion"/>
  </si>
  <si>
    <t>span fraction</t>
    <phoneticPr fontId="2" type="noConversion"/>
  </si>
  <si>
    <t>experimental horizontal reaction (N)</t>
    <phoneticPr fontId="2" type="noConversion"/>
  </si>
  <si>
    <t>theoretical horizontal reaction (N)</t>
    <phoneticPr fontId="2" type="noConversion"/>
  </si>
  <si>
    <t>theoretical vertical reactionan at support A (N)</t>
    <phoneticPr fontId="2" type="noConversion"/>
  </si>
  <si>
    <t>percentage error in horizontal reaction</t>
    <phoneticPr fontId="2" type="noConversion"/>
  </si>
  <si>
    <t>applied force (N)</t>
    <phoneticPr fontId="2" type="noConversion"/>
  </si>
  <si>
    <r>
      <t>measured strain (</t>
    </r>
    <r>
      <rPr>
        <sz val="11"/>
        <color theme="1"/>
        <rFont val="Calibri"/>
        <family val="2"/>
        <charset val="161"/>
      </rPr>
      <t>με</t>
    </r>
    <r>
      <rPr>
        <sz val="11"/>
        <color theme="1"/>
        <rFont val="新細明體"/>
        <family val="2"/>
        <charset val="136"/>
        <scheme val="minor"/>
      </rPr>
      <t>)</t>
    </r>
    <phoneticPr fontId="2" type="noConversion"/>
  </si>
  <si>
    <t>member 3</t>
    <phoneticPr fontId="2" type="noConversion"/>
  </si>
  <si>
    <t>member 7</t>
    <phoneticPr fontId="2" type="noConversion"/>
  </si>
  <si>
    <r>
      <t>theoretical strain (</t>
    </r>
    <r>
      <rPr>
        <sz val="11"/>
        <color theme="1"/>
        <rFont val="Calibri"/>
        <family val="2"/>
        <charset val="161"/>
      </rPr>
      <t>με</t>
    </r>
    <r>
      <rPr>
        <sz val="11"/>
        <color theme="1"/>
        <rFont val="新細明體"/>
        <family val="2"/>
        <charset val="136"/>
        <scheme val="minor"/>
      </rPr>
      <t>)</t>
    </r>
    <phoneticPr fontId="2" type="noConversion"/>
  </si>
  <si>
    <t>displacement</t>
    <phoneticPr fontId="2" type="noConversion"/>
  </si>
  <si>
    <t>measured displacement (mm)</t>
    <phoneticPr fontId="2" type="noConversion"/>
  </si>
  <si>
    <t>theoretical displacement (mm)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</si>
</sst>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%"/>
    <numFmt numFmtId="177" formatCode="0.000"/>
    <numFmt numFmtId="178" formatCode="0.0"/>
  </numFmts>
  <fonts count="4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7" fontId="0" fillId="0" borderId="0" xfId="0" applyNumberFormat="1">
      <alignment vertical="center"/>
    </xf>
    <xf numFmtId="2" fontId="0" fillId="0" borderId="0" xfId="0" applyNumberFormat="1">
      <alignment vertical="center"/>
    </xf>
    <xf numFmtId="17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8">
    <dxf>
      <numFmt numFmtId="177" formatCode="0.000"/>
    </dxf>
    <dxf>
      <numFmt numFmtId="177" formatCode="0.000"/>
    </dxf>
    <dxf>
      <numFmt numFmtId="178" formatCode="0.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charset val="136"/>
        <scheme val="minor"/>
      </font>
      <numFmt numFmtId="176" formatCode="0.000%"/>
    </dxf>
    <dxf>
      <numFmt numFmtId="2" formatCode="0.00"/>
    </dxf>
    <dxf>
      <numFmt numFmtId="2" formatCode="0.00"/>
    </dxf>
    <dxf>
      <numFmt numFmtId="178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relation</a:t>
            </a:r>
            <a:r>
              <a:rPr lang="en-US" altLang="zh-TW" baseline="0"/>
              <a:t> between </a:t>
            </a:r>
            <a:r>
              <a:rPr lang="en-US" altLang="zh-TW"/>
              <a:t>experimental horizontal reaction and</a:t>
            </a:r>
            <a:r>
              <a:rPr lang="en-US" altLang="zh-TW" baseline="0"/>
              <a:t> load distance from left of a three pinned arch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'three pinned arch'!$D$1</c:f>
              <c:strCache>
                <c:ptCount val="1"/>
                <c:pt idx="0">
                  <c:v>experimental horizontal reaction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'three pinned arch'!$B$2:$B$12</c:f>
              <c:numCache>
                <c:formatCode>General</c:formatCode>
                <c:ptCount val="1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</c:numCache>
            </c:numRef>
          </c:xVal>
          <c:yVal>
            <c:numRef>
              <c:f>'three pinned arch'!$D$2:$D$12</c:f>
              <c:numCache>
                <c:formatCode>0.0</c:formatCode>
                <c:ptCount val="11"/>
                <c:pt idx="0">
                  <c:v>0</c:v>
                </c:pt>
                <c:pt idx="1">
                  <c:v>0.7</c:v>
                </c:pt>
                <c:pt idx="2">
                  <c:v>1.6</c:v>
                </c:pt>
                <c:pt idx="3">
                  <c:v>2.2000000000000002</c:v>
                </c:pt>
                <c:pt idx="4">
                  <c:v>2.9</c:v>
                </c:pt>
                <c:pt idx="5">
                  <c:v>3.2</c:v>
                </c:pt>
                <c:pt idx="6">
                  <c:v>2.9</c:v>
                </c:pt>
                <c:pt idx="7">
                  <c:v>2.2000000000000002</c:v>
                </c:pt>
                <c:pt idx="8">
                  <c:v>1.6</c:v>
                </c:pt>
                <c:pt idx="9">
                  <c:v>0.9</c:v>
                </c:pt>
                <c:pt idx="10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29-4496-A5E5-A4F69519CA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66227600"/>
        <c:axId val="566230480"/>
      </c:scatterChart>
      <c:valAx>
        <c:axId val="566227600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distance from left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566230480"/>
        <c:crosses val="autoZero"/>
        <c:crossBetween val="midCat"/>
      </c:valAx>
      <c:valAx>
        <c:axId val="56623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experimental horizontal reaction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56622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relation between applied force and measured</a:t>
            </a:r>
            <a:r>
              <a:rPr lang="en-US" altLang="zh-TW" baseline="0"/>
              <a:t> strain for member 3 of the statically determinate structure</a:t>
            </a:r>
          </a:p>
        </c:rich>
      </c:tx>
      <c:layout>
        <c:manualLayout>
          <c:xMode val="edge"/>
          <c:yMode val="edge"/>
          <c:x val="0.1459096675415572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'determinate structure'!$B$3:$B$7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'determinate structure'!$A$3:$A$7</c:f>
              <c:numCache>
                <c:formatCode>0</c:formatCode>
                <c:ptCount val="5"/>
                <c:pt idx="0">
                  <c:v>0</c:v>
                </c:pt>
                <c:pt idx="1">
                  <c:v>-9</c:v>
                </c:pt>
                <c:pt idx="2">
                  <c:v>-18</c:v>
                </c:pt>
                <c:pt idx="3">
                  <c:v>-27</c:v>
                </c:pt>
                <c:pt idx="4">
                  <c:v>-37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162-45FD-82C7-6696134E84CE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666836512"/>
        <c:axId val="1666843232"/>
      </c:scatterChart>
      <c:valAx>
        <c:axId val="166683651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applied 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666843232"/>
        <c:crosses val="autoZero"/>
        <c:crossBetween val="midCat"/>
      </c:valAx>
      <c:valAx>
        <c:axId val="166684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measured strain (</a:t>
                </a:r>
                <a:r>
                  <a:rPr lang="el-GR" altLang="zh-TW"/>
                  <a:t>με)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66683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relation</a:t>
            </a:r>
            <a:r>
              <a:rPr lang="en-US" altLang="zh-TW" baseline="0"/>
              <a:t> between applied force and theoretical strain for member 7 of the statically determinate structure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'determinate structure'!$D$3:$D$7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'determinate structure'!$C$3:$C$7</c:f>
              <c:numCache>
                <c:formatCode>0.0</c:formatCode>
                <c:ptCount val="5"/>
                <c:pt idx="0">
                  <c:v>0</c:v>
                </c:pt>
                <c:pt idx="1">
                  <c:v>11.9</c:v>
                </c:pt>
                <c:pt idx="2">
                  <c:v>23.8</c:v>
                </c:pt>
                <c:pt idx="3">
                  <c:v>35.700000000000003</c:v>
                </c:pt>
                <c:pt idx="4">
                  <c:v>47.6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EC5-47B2-8B75-2A9054A409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85946032"/>
        <c:axId val="285940272"/>
      </c:scatterChart>
      <c:valAx>
        <c:axId val="28594603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applied 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285940272"/>
        <c:crosses val="autoZero"/>
        <c:crossBetween val="midCat"/>
      </c:valAx>
      <c:valAx>
        <c:axId val="2859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theoretical strain (</a:t>
                </a:r>
                <a:r>
                  <a:rPr lang="el-GR" altLang="zh-TW"/>
                  <a:t>με)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28594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relation between applied force and displacement of the</a:t>
            </a:r>
            <a:r>
              <a:rPr lang="en-US" altLang="zh-TW" baseline="0"/>
              <a:t> statically determinate structure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'determinate structure'!$G$2</c:f>
              <c:strCache>
                <c:ptCount val="1"/>
                <c:pt idx="0">
                  <c:v>measured displacement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'determinate structure'!$F$3:$F$7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cat>
          <c:val>
            <c:numRef>
              <c:f>'determinate structure'!$G$3:$G$7</c:f>
              <c:numCache>
                <c:formatCode>0.000</c:formatCode>
                <c:ptCount val="5"/>
                <c:pt idx="0">
                  <c:v>0</c:v>
                </c:pt>
                <c:pt idx="1">
                  <c:v>2.3E-2</c:v>
                </c:pt>
                <c:pt idx="2">
                  <c:v>4.4999999999999998E-2</c:v>
                </c:pt>
                <c:pt idx="3">
                  <c:v>6.4000000000000001E-2</c:v>
                </c:pt>
                <c:pt idx="4">
                  <c:v>8.1000000000000003E-2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4C-4062-AC6B-79B1B71FB811}"/>
            </c:ext>
          </c:extLst>
        </c:ser>
        <c:ser>
          <c:idx val="1"/>
          <c:order val="1"/>
          <c:tx>
            <c:strRef>
              <c:f>'determinate structure'!$H$2</c:f>
              <c:strCache>
                <c:ptCount val="1"/>
                <c:pt idx="0">
                  <c:v>theoretical displacement (mm)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'determinate structure'!$F$3:$F$7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cat>
          <c:val>
            <c:numRef>
              <c:f>'determinate structure'!$H$3:$H$7</c:f>
              <c:numCache>
                <c:formatCode>0.000</c:formatCode>
                <c:ptCount val="5"/>
                <c:pt idx="0">
                  <c:v>0</c:v>
                </c:pt>
                <c:pt idx="1">
                  <c:v>1.2E-2</c:v>
                </c:pt>
                <c:pt idx="2">
                  <c:v>2.4E-2</c:v>
                </c:pt>
                <c:pt idx="3">
                  <c:v>3.5000000000000003E-2</c:v>
                </c:pt>
                <c:pt idx="4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4C-4062-AC6B-79B1B71FB81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66194288"/>
        <c:axId val="566195248"/>
      </c:lineChart>
      <c:catAx>
        <c:axId val="56619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applied load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566195248"/>
        <c:crosses val="autoZero"/>
        <c:auto val="1"/>
        <c:lblAlgn val="ctr"/>
        <c:lblOffset val="100"/>
        <c:noMultiLvlLbl val="0"/>
      </c:catAx>
      <c:valAx>
        <c:axId val="56619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displacement (mm)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7783537474482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56619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3810</xdr:rowOff>
    </xdr:from>
    <xdr:to>
      <xdr:col>3</xdr:col>
      <xdr:colOff>1394460</xdr:colOff>
      <xdr:row>26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DFC4E-3333-4C79-ED31-8C5B019E7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179070</xdr:rowOff>
    </xdr:from>
    <xdr:to>
      <xdr:col>3</xdr:col>
      <xdr:colOff>510540</xdr:colOff>
      <xdr:row>24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680137-4021-9CA8-EED8-732509D09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678180</xdr:colOff>
      <xdr:row>10</xdr:row>
      <xdr:rowOff>15240</xdr:rowOff>
    </xdr:from>
    <xdr:to>
      <xdr:col>7</xdr:col>
      <xdr:colOff>582930</xdr:colOff>
      <xdr:row>24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49AC78-74BB-4EB8-9DC7-6ED3334ED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742950</xdr:colOff>
      <xdr:row>9</xdr:row>
      <xdr:rowOff>102870</xdr:rowOff>
    </xdr:from>
    <xdr:to>
      <xdr:col>14</xdr:col>
      <xdr:colOff>34290</xdr:colOff>
      <xdr:row>23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332875-B6C2-1853-B726-BACA8DBE3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2DFAE3-F65D-434A-B455-EAE8D3A1B7B7}" name="Table1" displayName="Table1" ref="A1:G12" totalsRowShown="0">
  <autoFilter ref="A1:G12" xr:uid="{8E2DFAE3-F65D-434A-B455-EAE8D3A1B7B7}"/>
  <tableColumns count="7">
    <tableColumn id="1" xr3:uid="{77329231-D744-4437-9F5D-661B8FBB14E1}" name="mass (g)"/>
    <tableColumn id="2" xr3:uid="{E3F72859-9C9E-4555-9514-C166B6BEF0C0}" name="distance from the left (mm)"/>
    <tableColumn id="3" xr3:uid="{B9594E50-742E-4BE5-9BEF-5239A760E1F2}" name="span fraction">
      <calculatedColumnFormula>$B2/500</calculatedColumnFormula>
    </tableColumn>
    <tableColumn id="4" xr3:uid="{53C34510-CE60-404D-B85A-180B7D907124}" name="experimental horizontal reaction (N)" dataDxfId="7"/>
    <tableColumn id="5" xr3:uid="{27FE262F-6FE3-41EB-B8A3-1BE245FF688B}" name="theoretical horizontal reaction (N)" dataDxfId="6"/>
    <tableColumn id="6" xr3:uid="{590AAF41-018A-44DA-A6EE-AB1A83BE5E6A}" name="theoretical vertical reactionan at support A (N)" dataDxfId="5"/>
    <tableColumn id="7" xr3:uid="{6E1F3E47-1344-4E30-9415-DDD194B4ACEF}" name="percentage error in horizontal reaction" dataDxfId="4" dataCellStyle="Percent">
      <calculatedColumnFormula>($D2-$E2)/$E2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809FA5-BC64-43FF-8BF6-B788E4712913}" name="Table2" displayName="Table2" ref="A2:B7" totalsRowShown="0">
  <autoFilter ref="A2:B7" xr:uid="{39809FA5-BC64-43FF-8BF6-B788E4712913}"/>
  <tableColumns count="2">
    <tableColumn id="1" xr3:uid="{85DDBE5B-169D-4738-947F-6C5836BE1647}" name="measured strain (με)" dataDxfId="3"/>
    <tableColumn id="2" xr3:uid="{ADA39DA8-1C8A-4C5A-BA3D-BD99576BF091}" name="applied force (N)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89533B-378D-41FC-8288-3B13299105A2}" name="Table24" displayName="Table24" ref="C2:D7" totalsRowShown="0">
  <autoFilter ref="C2:D7" xr:uid="{8B89533B-378D-41FC-8288-3B13299105A2}"/>
  <tableColumns count="2">
    <tableColumn id="1" xr3:uid="{7A871083-A179-4E71-A98D-D702613E92E0}" name="theoretical strain (με)" dataDxfId="2"/>
    <tableColumn id="2" xr3:uid="{D93F1E0D-D85D-419E-89DE-02D779254147}" name="applied force (N)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57DAF9-926A-455A-B894-334FB973790A}" name="Table6" displayName="Table6" ref="F2:H7" totalsRowShown="0">
  <autoFilter ref="F2:H7" xr:uid="{D757DAF9-926A-455A-B894-334FB973790A}"/>
  <tableColumns count="3">
    <tableColumn id="1" xr3:uid="{FDD453A6-67B7-49ED-9549-D2F64DC4ECA1}" name="applied force (N)"/>
    <tableColumn id="2" xr3:uid="{785E71D0-1E5D-4C4A-998A-16395C875F3E}" name="measured displacement (mm)" dataDxfId="1"/>
    <tableColumn id="3" xr3:uid="{877F788C-0B3A-4AAD-B2E6-F84832A9BE64}" name="theoretical displacement (mm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6DCE-37EF-4817-A340-7493EA024974}">
  <dimension ref="A1:G12"/>
  <sheetViews>
    <sheetView topLeftCell="A4" workbookViewId="0">
      <selection activeCell="E16" sqref="E16"/>
    </sheetView>
  </sheetViews>
  <sheetFormatPr defaultRowHeight="15.3" x14ac:dyDescent="0.55000000000000004"/>
  <cols>
    <col min="1" max="1" width="9.9375" customWidth="1"/>
    <col min="2" max="2" width="25.64453125" customWidth="1"/>
    <col min="3" max="3" width="13.46875" customWidth="1"/>
    <col min="4" max="4" width="32.17578125" bestFit="1" customWidth="1"/>
    <col min="5" max="5" width="30.234375" customWidth="1"/>
    <col min="6" max="6" width="41.17578125" bestFit="1" customWidth="1"/>
    <col min="7" max="7" width="33.6445312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>
        <v>300</v>
      </c>
      <c r="B2">
        <v>0</v>
      </c>
      <c r="C2">
        <f>$B2/500</f>
        <v>0</v>
      </c>
      <c r="D2" s="4">
        <v>0</v>
      </c>
      <c r="E2" s="3">
        <v>0</v>
      </c>
      <c r="F2" s="3">
        <v>2.94</v>
      </c>
      <c r="G2" s="1" t="e">
        <f>($D2-$E2)/$E2</f>
        <v>#DIV/0!</v>
      </c>
    </row>
    <row r="3" spans="1:7" x14ac:dyDescent="0.55000000000000004">
      <c r="A3">
        <v>300</v>
      </c>
      <c r="B3">
        <v>50</v>
      </c>
      <c r="C3">
        <f t="shared" ref="C3:C12" si="0">$B3/500</f>
        <v>0.1</v>
      </c>
      <c r="D3" s="4">
        <v>0.7</v>
      </c>
      <c r="E3" s="3">
        <v>0.74</v>
      </c>
      <c r="F3" s="3">
        <v>2.65</v>
      </c>
      <c r="G3" s="1">
        <f t="shared" ref="G3:G12" si="1">($D3-$E3)/$E3</f>
        <v>-5.4054054054054106E-2</v>
      </c>
    </row>
    <row r="4" spans="1:7" x14ac:dyDescent="0.55000000000000004">
      <c r="A4">
        <v>300</v>
      </c>
      <c r="B4">
        <v>100</v>
      </c>
      <c r="C4">
        <f t="shared" si="0"/>
        <v>0.2</v>
      </c>
      <c r="D4" s="4">
        <v>1.6</v>
      </c>
      <c r="E4" s="3">
        <v>1.47</v>
      </c>
      <c r="F4" s="3">
        <v>2.35</v>
      </c>
      <c r="G4" s="1">
        <f t="shared" si="1"/>
        <v>8.8435374149659948E-2</v>
      </c>
    </row>
    <row r="5" spans="1:7" x14ac:dyDescent="0.55000000000000004">
      <c r="A5">
        <v>300</v>
      </c>
      <c r="B5">
        <v>150</v>
      </c>
      <c r="C5">
        <f t="shared" si="0"/>
        <v>0.3</v>
      </c>
      <c r="D5" s="4">
        <v>2.2000000000000002</v>
      </c>
      <c r="E5" s="3">
        <v>2.21</v>
      </c>
      <c r="F5" s="3">
        <v>2.06</v>
      </c>
      <c r="G5" s="1">
        <f t="shared" si="1"/>
        <v>-4.5248868778279576E-3</v>
      </c>
    </row>
    <row r="6" spans="1:7" x14ac:dyDescent="0.55000000000000004">
      <c r="A6">
        <v>300</v>
      </c>
      <c r="B6">
        <v>200</v>
      </c>
      <c r="C6">
        <f t="shared" si="0"/>
        <v>0.4</v>
      </c>
      <c r="D6" s="4">
        <v>2.9</v>
      </c>
      <c r="E6" s="3">
        <v>2.94</v>
      </c>
      <c r="F6" s="3">
        <v>1.77</v>
      </c>
      <c r="G6" s="1">
        <f t="shared" si="1"/>
        <v>-1.360544217687076E-2</v>
      </c>
    </row>
    <row r="7" spans="1:7" x14ac:dyDescent="0.55000000000000004">
      <c r="A7">
        <v>300</v>
      </c>
      <c r="B7">
        <v>250</v>
      </c>
      <c r="C7">
        <f t="shared" si="0"/>
        <v>0.5</v>
      </c>
      <c r="D7" s="4">
        <v>3.2</v>
      </c>
      <c r="E7" s="3">
        <v>3.68</v>
      </c>
      <c r="F7" s="3">
        <v>1.47</v>
      </c>
      <c r="G7" s="1">
        <f t="shared" si="1"/>
        <v>-0.13043478260869565</v>
      </c>
    </row>
    <row r="8" spans="1:7" x14ac:dyDescent="0.55000000000000004">
      <c r="A8">
        <v>300</v>
      </c>
      <c r="B8">
        <v>300</v>
      </c>
      <c r="C8">
        <f t="shared" si="0"/>
        <v>0.6</v>
      </c>
      <c r="D8" s="4">
        <v>2.9</v>
      </c>
      <c r="E8" s="3">
        <v>2.94</v>
      </c>
      <c r="F8" s="3">
        <v>1.18</v>
      </c>
      <c r="G8" s="1">
        <f t="shared" si="1"/>
        <v>-1.360544217687076E-2</v>
      </c>
    </row>
    <row r="9" spans="1:7" x14ac:dyDescent="0.55000000000000004">
      <c r="A9">
        <v>300</v>
      </c>
      <c r="B9">
        <v>350</v>
      </c>
      <c r="C9">
        <f t="shared" si="0"/>
        <v>0.7</v>
      </c>
      <c r="D9" s="4">
        <v>2.2000000000000002</v>
      </c>
      <c r="E9" s="3">
        <v>2.21</v>
      </c>
      <c r="F9" s="3">
        <v>0.88</v>
      </c>
      <c r="G9" s="1">
        <f t="shared" si="1"/>
        <v>-4.5248868778279576E-3</v>
      </c>
    </row>
    <row r="10" spans="1:7" x14ac:dyDescent="0.55000000000000004">
      <c r="A10">
        <v>300</v>
      </c>
      <c r="B10">
        <v>400</v>
      </c>
      <c r="C10">
        <f t="shared" si="0"/>
        <v>0.8</v>
      </c>
      <c r="D10" s="4">
        <v>1.6</v>
      </c>
      <c r="E10" s="3">
        <v>1.47</v>
      </c>
      <c r="F10" s="3">
        <v>0.59</v>
      </c>
      <c r="G10" s="1">
        <f t="shared" si="1"/>
        <v>8.8435374149659948E-2</v>
      </c>
    </row>
    <row r="11" spans="1:7" x14ac:dyDescent="0.55000000000000004">
      <c r="A11">
        <v>300</v>
      </c>
      <c r="B11">
        <v>450</v>
      </c>
      <c r="C11">
        <f t="shared" si="0"/>
        <v>0.9</v>
      </c>
      <c r="D11" s="4">
        <v>0.9</v>
      </c>
      <c r="E11" s="3">
        <v>0.74</v>
      </c>
      <c r="F11" s="3">
        <v>0.28999999999999998</v>
      </c>
      <c r="G11" s="1">
        <f t="shared" si="1"/>
        <v>0.21621621621621626</v>
      </c>
    </row>
    <row r="12" spans="1:7" x14ac:dyDescent="0.55000000000000004">
      <c r="A12">
        <v>300</v>
      </c>
      <c r="B12">
        <v>500</v>
      </c>
      <c r="C12">
        <f t="shared" si="0"/>
        <v>1</v>
      </c>
      <c r="D12" s="4">
        <v>0.2</v>
      </c>
      <c r="E12" s="3">
        <v>0</v>
      </c>
      <c r="F12" s="3">
        <v>0</v>
      </c>
      <c r="G12" s="1" t="e">
        <f t="shared" si="1"/>
        <v>#DIV/0!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1E25-5441-4FCF-A8E4-FA1D4619F183}">
  <dimension ref="A1:H7"/>
  <sheetViews>
    <sheetView tabSelected="1" workbookViewId="0">
      <selection activeCell="I8" sqref="I8"/>
    </sheetView>
  </sheetViews>
  <sheetFormatPr defaultRowHeight="15.3" x14ac:dyDescent="0.55000000000000004"/>
  <cols>
    <col min="1" max="1" width="22.1171875" bestFit="1" customWidth="1"/>
    <col min="2" max="2" width="19.05859375" bestFit="1" customWidth="1"/>
    <col min="3" max="3" width="22.1171875" bestFit="1" customWidth="1"/>
    <col min="4" max="4" width="19.05859375" bestFit="1" customWidth="1"/>
    <col min="6" max="6" width="17" customWidth="1"/>
    <col min="7" max="7" width="27.05859375" customWidth="1"/>
    <col min="8" max="8" width="27.87890625" customWidth="1"/>
  </cols>
  <sheetData>
    <row r="1" spans="1:8" x14ac:dyDescent="0.55000000000000004">
      <c r="A1" s="6" t="s">
        <v>9</v>
      </c>
      <c r="B1" s="6"/>
      <c r="C1" s="6" t="s">
        <v>10</v>
      </c>
      <c r="D1" s="6"/>
      <c r="F1" s="6" t="s">
        <v>12</v>
      </c>
      <c r="G1" s="6"/>
      <c r="H1" s="6"/>
    </row>
    <row r="2" spans="1:8" x14ac:dyDescent="0.55000000000000004">
      <c r="A2" t="s">
        <v>8</v>
      </c>
      <c r="B2" t="s">
        <v>7</v>
      </c>
      <c r="C2" t="s">
        <v>11</v>
      </c>
      <c r="D2" t="s">
        <v>7</v>
      </c>
      <c r="F2" t="s">
        <v>7</v>
      </c>
      <c r="G2" t="s">
        <v>13</v>
      </c>
      <c r="H2" t="s">
        <v>14</v>
      </c>
    </row>
    <row r="3" spans="1:8" x14ac:dyDescent="0.55000000000000004">
      <c r="A3" s="5">
        <v>0</v>
      </c>
      <c r="B3">
        <v>0</v>
      </c>
      <c r="C3" s="4">
        <v>0</v>
      </c>
      <c r="D3">
        <v>0</v>
      </c>
      <c r="F3">
        <v>0</v>
      </c>
      <c r="G3" s="2">
        <v>0</v>
      </c>
      <c r="H3" s="2">
        <v>0</v>
      </c>
    </row>
    <row r="4" spans="1:8" x14ac:dyDescent="0.55000000000000004">
      <c r="A4" s="5">
        <v>-9</v>
      </c>
      <c r="B4">
        <v>50</v>
      </c>
      <c r="C4" s="4">
        <v>11.9</v>
      </c>
      <c r="D4">
        <v>50</v>
      </c>
      <c r="F4">
        <v>50</v>
      </c>
      <c r="G4" s="2">
        <v>2.3E-2</v>
      </c>
      <c r="H4" s="2">
        <v>1.2E-2</v>
      </c>
    </row>
    <row r="5" spans="1:8" x14ac:dyDescent="0.55000000000000004">
      <c r="A5" s="5">
        <v>-18</v>
      </c>
      <c r="B5">
        <v>100</v>
      </c>
      <c r="C5" s="4">
        <v>23.8</v>
      </c>
      <c r="D5">
        <v>100</v>
      </c>
      <c r="F5">
        <v>100</v>
      </c>
      <c r="G5" s="2">
        <v>4.4999999999999998E-2</v>
      </c>
      <c r="H5" s="2">
        <v>2.4E-2</v>
      </c>
    </row>
    <row r="6" spans="1:8" x14ac:dyDescent="0.55000000000000004">
      <c r="A6" s="5">
        <v>-27</v>
      </c>
      <c r="B6">
        <v>150</v>
      </c>
      <c r="C6" s="4">
        <v>35.700000000000003</v>
      </c>
      <c r="D6">
        <v>150</v>
      </c>
      <c r="F6">
        <v>150</v>
      </c>
      <c r="G6" s="2">
        <v>6.4000000000000001E-2</v>
      </c>
      <c r="H6" s="2">
        <v>3.5000000000000003E-2</v>
      </c>
    </row>
    <row r="7" spans="1:8" x14ac:dyDescent="0.55000000000000004">
      <c r="A7" s="5">
        <v>-37</v>
      </c>
      <c r="B7">
        <v>200</v>
      </c>
      <c r="C7" s="4">
        <v>47.6</v>
      </c>
      <c r="D7">
        <v>200</v>
      </c>
      <c r="F7">
        <v>200</v>
      </c>
      <c r="G7" s="2">
        <v>8.1000000000000003E-2</v>
      </c>
      <c r="H7" s="2">
        <v>4.7E-2</v>
      </c>
    </row>
  </sheetData>
  <mergeCells count="3">
    <mergeCell ref="A1:B1"/>
    <mergeCell ref="C1:D1"/>
    <mergeCell ref="F1:H1"/>
  </mergeCells>
  <phoneticPr fontId="2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three pinned arch</vt:lpstr>
      <vt:lpstr>determinate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Chun Hin</dc:creator>
  <cp:lastModifiedBy>SO Chun Hin</cp:lastModifiedBy>
  <dcterms:created xsi:type="dcterms:W3CDTF">2024-03-11T07:35:35Z</dcterms:created>
  <dcterms:modified xsi:type="dcterms:W3CDTF">2024-03-12T02:56:51Z</dcterms:modified>
</cp:coreProperties>
</file>