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kustconnect-my.sharepoint.com/personal/khhuangaa_connect_ust_hk/Documents/TEMG3950/"/>
    </mc:Choice>
  </mc:AlternateContent>
  <xr:revisionPtr revIDLastSave="0" documentId="8_{8176722D-F286-438E-B233-E3939B42A57B}" xr6:coauthVersionLast="47" xr6:coauthVersionMax="47" xr10:uidLastSave="{00000000-0000-0000-0000-000000000000}"/>
  <bookViews>
    <workbookView minimized="1" xWindow="2484" yWindow="2532" windowWidth="14556" windowHeight="8880" xr2:uid="{1FF17B24-C72E-45BC-8F26-6E5EE3CAF908}"/>
  </bookViews>
  <sheets>
    <sheet name="Sheet1" sheetId="1" r:id="rId1"/>
  </sheets>
  <definedNames>
    <definedName name="c_lang">Sheet1!$B$40</definedName>
    <definedName name="c_mini">Sheet1!$B$41</definedName>
    <definedName name="GD_percent">Sheet1!$C$2</definedName>
    <definedName name="inout_tot">Sheet1!$B$35</definedName>
    <definedName name="SAM">Sheet1!$B$44</definedName>
    <definedName name="short_inventory">Sheet1!$B$37</definedName>
    <definedName name="SOM">Sheet1!$B$45</definedName>
    <definedName name="TAM">Sheet1!$B$43</definedName>
    <definedName name="total_inventory">Sheet1!$B$38</definedName>
    <definedName name="value">Sheet1!$B$39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C45" i="1"/>
  <c r="C44" i="1" a="1"/>
  <c r="C44" i="1" s="1"/>
  <c r="C43" i="1"/>
  <c r="C32" i="1"/>
  <c r="C22" i="1"/>
  <c r="C13" i="1"/>
  <c r="B43" i="1"/>
  <c r="B44" i="1" s="1"/>
  <c r="B38" i="1"/>
  <c r="B32" i="1"/>
  <c r="C27" i="1"/>
  <c r="C28" i="1"/>
  <c r="C29" i="1"/>
  <c r="C30" i="1"/>
  <c r="C31" i="1"/>
  <c r="C26" i="1"/>
  <c r="C16" i="1"/>
  <c r="B13" i="1"/>
  <c r="B22" i="1"/>
  <c r="C17" i="1"/>
  <c r="C18" i="1"/>
  <c r="C19" i="1"/>
  <c r="C20" i="1"/>
  <c r="C21" i="1"/>
  <c r="B35" i="1"/>
  <c r="B37" i="1" s="1"/>
  <c r="C3" i="1"/>
  <c r="C4" i="1"/>
  <c r="C5" i="1"/>
  <c r="C6" i="1"/>
  <c r="C7" i="1"/>
  <c r="C8" i="1"/>
  <c r="C9" i="1"/>
  <c r="C10" i="1"/>
  <c r="C11" i="1"/>
  <c r="C12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<sst xmlns="http://schemas.openxmlformats.org/spreadsheetml/2006/main" count="45" uniqueCount="42">
  <si>
    <t>province</t>
  </si>
  <si>
    <t>non-mainland (exclude tour)</t>
  </si>
  <si>
    <t>%</t>
  </si>
  <si>
    <t>https://www.gov.cn/xinwen/2021-05/11/content_5605792.htm</t>
  </si>
  <si>
    <t>廣東 GuangDong</t>
  </si>
  <si>
    <t>雲南 YunNan</t>
  </si>
  <si>
    <t>上海 ShangHai</t>
  </si>
  <si>
    <t>福建 FuJian</t>
  </si>
  <si>
    <t>北京 BeiJing</t>
  </si>
  <si>
    <t>江蘇 JiangSu</t>
  </si>
  <si>
    <t>浙江 ZheJiang</t>
  </si>
  <si>
    <t>廣西 GuangXi</t>
  </si>
  <si>
    <t>山東 ShanDong</t>
  </si>
  <si>
    <t>遼寧 NiaoNing</t>
  </si>
  <si>
    <t>others</t>
  </si>
  <si>
    <t>Purposes</t>
  </si>
  <si>
    <t>Business</t>
  </si>
  <si>
    <t>Job</t>
  </si>
  <si>
    <t>Study</t>
  </si>
  <si>
    <t>Live(Immigrate)</t>
  </si>
  <si>
    <t>Visisting relatives</t>
  </si>
  <si>
    <t>staying length (months) n</t>
  </si>
  <si>
    <t>n&lt;3</t>
  </si>
  <si>
    <t>3&lt;=n&lt;6</t>
  </si>
  <si>
    <t>6&lt;=n&lt;12</t>
  </si>
  <si>
    <t>12&lt;=n&lt;24</t>
  </si>
  <si>
    <t>24&lt;=n&lt;60</t>
  </si>
  <si>
    <t>n&gt;=60</t>
  </si>
  <si>
    <t>inout_tot</t>
  </si>
  <si>
    <t>https://www.nia.gov.cn/n741440/n741567/c1589194/content.html</t>
  </si>
  <si>
    <t>average length of stay (days)</t>
  </si>
  <si>
    <t>https://www.ceicdata.com/en/china/tourism-shanghai/shanghai-visitor-average-length-of-stay-foreigner</t>
  </si>
  <si>
    <t>short inventory (short stay foreigners)</t>
  </si>
  <si>
    <t>by Little's Law</t>
  </si>
  <si>
    <t>Total inventory (foreigners)</t>
  </si>
  <si>
    <t>value/person/year ($)</t>
  </si>
  <si>
    <t>language barrier coefficient</t>
  </si>
  <si>
    <t>miniapp coefficient</t>
  </si>
  <si>
    <t>http://www.xinhuanet.com/english/2017-05/17/c_136292324.htm</t>
  </si>
  <si>
    <t>TAM</t>
  </si>
  <si>
    <t>SAM</t>
  </si>
  <si>
    <t>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</si>
</sst>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164" fontId="0" fillId="0" borderId="0" xfId="1" applyFont="1"/>
    <xf numFmtId="0" fontId="2" fillId="0" borderId="0" xfId="3"/>
    <xf numFmtId="10" fontId="2" fillId="0" borderId="0" xfId="3" applyNumberFormat="1"/>
    <xf numFmtId="10" fontId="0" fillId="0" borderId="0" xfId="2" applyNumberFormat="1" applyFont="1"/>
    <xf numFmtId="2" fontId="0" fillId="0" borderId="0" xfId="0" applyNumberFormat="1"/>
  </cellXfs>
  <cellStyles count="4">
    <cellStyle name="一般" xfId="0" builtinId="0"/>
    <cellStyle name="百分比" xfId="2" builtinId="5"/>
    <cellStyle name="貨幣" xfId="1" builtinId="4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cn/xinwen/2021-05/11/content_5605792.ht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gov.cn/xinwen/2021-05/11/content_5605792.htm" TargetMode="External"/><Relationship Id="rId1" Type="http://schemas.openxmlformats.org/officeDocument/2006/relationships/hyperlink" Target="https://www.gov.cn/xinwen/2021-05/11/content_5605792.htm" TargetMode="External"/><Relationship Id="rId6" Type="http://schemas.openxmlformats.org/officeDocument/2006/relationships/hyperlink" Target="http://www.xinhuanet.com/english/2017-05/17/c_136292324.htm" TargetMode="External"/><Relationship Id="rId5" Type="http://schemas.openxmlformats.org/officeDocument/2006/relationships/hyperlink" Target="https://www.ceicdata.com/en/china/tourism-shanghai/shanghai-visitor-average-length-of-stay-foreigner" TargetMode="External"/><Relationship Id="rId4" Type="http://schemas.openxmlformats.org/officeDocument/2006/relationships/hyperlink" Target="https://www.nia.gov.cn/n741440/n741567/c1589194/cont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FD96-6983-4D17-9BB0-4911CEE388E4}">
  <dimension ref="A1:D45"/>
  <sheetViews>
    <sheetView tabSelected="1" topLeftCell="A37" workbookViewId="0">
      <selection activeCell="C45" sqref="C45"/>
    </sheetView>
  </sheetViews>
  <sheetFormatPr defaultRowHeight="14.45"/>
  <cols>
    <col min="1" max="1" width="41.42578125" customWidth="1"/>
    <col min="2" max="2" width="18.85546875" customWidth="1"/>
    <col min="3" max="3" width="13.140625" style="1" bestFit="1" customWidth="1"/>
    <col min="5" max="5" width="23.28515625" customWidth="1"/>
  </cols>
  <sheetData>
    <row r="1" spans="1:4">
      <c r="A1" t="s">
        <v>0</v>
      </c>
      <c r="B1" t="s">
        <v>1</v>
      </c>
      <c r="C1" s="1" t="s">
        <v>2</v>
      </c>
      <c r="D1" s="3" t="s">
        <v>3</v>
      </c>
    </row>
    <row r="2" spans="1:4">
      <c r="A2" t="s">
        <v>4</v>
      </c>
      <c r="B2">
        <v>418509</v>
      </c>
      <c r="C2" s="5">
        <f>B2/SUM(B$2:B$12)</f>
        <v>0.292521466839543</v>
      </c>
    </row>
    <row r="3" spans="1:4">
      <c r="A3" t="s">
        <v>5</v>
      </c>
      <c r="B3">
        <v>379281</v>
      </c>
      <c r="C3" s="5">
        <f t="shared" ref="C3:C12" si="0">B3/SUM(B$2:B$12)</f>
        <v>0.26510262494801479</v>
      </c>
    </row>
    <row r="4" spans="1:4">
      <c r="A4" t="s">
        <v>6</v>
      </c>
      <c r="B4">
        <v>163954</v>
      </c>
      <c r="C4" s="5">
        <f t="shared" si="0"/>
        <v>0.11459745088925312</v>
      </c>
    </row>
    <row r="5" spans="1:4">
      <c r="A5" t="s">
        <v>7</v>
      </c>
      <c r="B5">
        <v>106248</v>
      </c>
      <c r="C5" s="5">
        <f t="shared" si="0"/>
        <v>7.4263207741691969E-2</v>
      </c>
    </row>
    <row r="6" spans="1:4">
      <c r="A6" t="s">
        <v>8</v>
      </c>
      <c r="B6">
        <v>62812</v>
      </c>
      <c r="C6" s="5">
        <f t="shared" si="0"/>
        <v>4.3903137985384727E-2</v>
      </c>
    </row>
    <row r="7" spans="1:4">
      <c r="A7" t="s">
        <v>9</v>
      </c>
      <c r="B7">
        <v>58201</v>
      </c>
      <c r="C7" s="5">
        <f t="shared" si="0"/>
        <v>4.0680228839829594E-2</v>
      </c>
    </row>
    <row r="8" spans="1:4">
      <c r="A8" t="s">
        <v>10</v>
      </c>
      <c r="B8">
        <v>46189</v>
      </c>
      <c r="C8" s="5">
        <f t="shared" si="0"/>
        <v>3.2284309374115375E-2</v>
      </c>
    </row>
    <row r="9" spans="1:4">
      <c r="A9" t="s">
        <v>11</v>
      </c>
      <c r="B9">
        <v>26043</v>
      </c>
      <c r="C9" s="5">
        <f t="shared" si="0"/>
        <v>1.8203041179286991E-2</v>
      </c>
    </row>
    <row r="10" spans="1:4">
      <c r="A10" t="s">
        <v>12</v>
      </c>
      <c r="B10">
        <v>21829</v>
      </c>
      <c r="C10" s="5">
        <f t="shared" si="0"/>
        <v>1.5257619548541093E-2</v>
      </c>
    </row>
    <row r="11" spans="1:4">
      <c r="A11" t="s">
        <v>13</v>
      </c>
      <c r="B11">
        <v>20562</v>
      </c>
      <c r="C11" s="5">
        <f t="shared" si="0"/>
        <v>1.4372035968532777E-2</v>
      </c>
    </row>
    <row r="12" spans="1:4">
      <c r="A12" t="s">
        <v>14</v>
      </c>
      <c r="B12">
        <v>127067</v>
      </c>
      <c r="C12" s="5">
        <f t="shared" si="0"/>
        <v>8.8814876685806551E-2</v>
      </c>
    </row>
    <row r="13" spans="1:4">
      <c r="B13">
        <f>SUM(B2:B12)</f>
        <v>1430695</v>
      </c>
      <c r="C13" s="5">
        <f>SUM(C2:C12)</f>
        <v>0.99999999999999989</v>
      </c>
    </row>
    <row r="14" spans="1:4">
      <c r="C14" s="5"/>
    </row>
    <row r="15" spans="1:4">
      <c r="A15" t="s">
        <v>15</v>
      </c>
      <c r="C15" s="5"/>
      <c r="D15" s="3" t="s">
        <v>3</v>
      </c>
    </row>
    <row r="16" spans="1:4">
      <c r="A16" t="s">
        <v>16</v>
      </c>
      <c r="B16">
        <v>77008</v>
      </c>
      <c r="C16" s="5">
        <f t="shared" ref="C16:C21" si="1">B16/SUM(B$16:B$21)</f>
        <v>5.3825588263046981E-2</v>
      </c>
    </row>
    <row r="17" spans="1:4">
      <c r="A17" t="s">
        <v>17</v>
      </c>
      <c r="B17">
        <v>444336</v>
      </c>
      <c r="C17" s="5">
        <f t="shared" si="1"/>
        <v>0.31057353244402197</v>
      </c>
    </row>
    <row r="18" spans="1:4">
      <c r="A18" t="s">
        <v>18</v>
      </c>
      <c r="B18">
        <v>219761</v>
      </c>
      <c r="C18" s="5">
        <f t="shared" si="1"/>
        <v>0.15360436710829353</v>
      </c>
    </row>
    <row r="19" spans="1:4">
      <c r="A19" t="s">
        <v>19</v>
      </c>
      <c r="B19">
        <v>419517</v>
      </c>
      <c r="C19" s="5">
        <f t="shared" si="1"/>
        <v>0.29322601952198057</v>
      </c>
    </row>
    <row r="20" spans="1:4">
      <c r="A20" t="s">
        <v>20</v>
      </c>
      <c r="B20">
        <v>74735</v>
      </c>
      <c r="C20" s="5">
        <f t="shared" si="1"/>
        <v>5.2236849922590069E-2</v>
      </c>
    </row>
    <row r="21" spans="1:4">
      <c r="A21" t="s">
        <v>14</v>
      </c>
      <c r="B21">
        <v>195338</v>
      </c>
      <c r="C21" s="5">
        <f t="shared" si="1"/>
        <v>0.13653364274006688</v>
      </c>
    </row>
    <row r="22" spans="1:4">
      <c r="B22">
        <f>SUM(B16:B21)</f>
        <v>1430695</v>
      </c>
      <c r="C22" s="5">
        <f>SUM(C16:C21)</f>
        <v>0.99999999999999989</v>
      </c>
    </row>
    <row r="23" spans="1:4">
      <c r="C23" s="5"/>
    </row>
    <row r="24" spans="1:4">
      <c r="C24" s="5"/>
    </row>
    <row r="25" spans="1:4">
      <c r="A25" t="s">
        <v>21</v>
      </c>
      <c r="C25" s="5"/>
      <c r="D25" s="3" t="s">
        <v>3</v>
      </c>
    </row>
    <row r="26" spans="1:4">
      <c r="A26" t="s">
        <v>22</v>
      </c>
      <c r="B26">
        <v>40659</v>
      </c>
      <c r="C26" s="5">
        <f>B26/SUM(B$26:B$31)</f>
        <v>2.841905507463156E-2</v>
      </c>
    </row>
    <row r="27" spans="1:4">
      <c r="A27" t="s">
        <v>23</v>
      </c>
      <c r="B27">
        <v>56342</v>
      </c>
      <c r="C27" s="5">
        <f t="shared" ref="C27:C31" si="2">B27/SUM(B$26:B$31)</f>
        <v>3.9380860351088107E-2</v>
      </c>
    </row>
    <row r="28" spans="1:4">
      <c r="A28" t="s">
        <v>24</v>
      </c>
      <c r="B28">
        <v>166884</v>
      </c>
      <c r="C28" s="5">
        <f t="shared" si="2"/>
        <v>0.11664540660308452</v>
      </c>
    </row>
    <row r="29" spans="1:4">
      <c r="A29" t="s">
        <v>25</v>
      </c>
      <c r="B29">
        <v>248174</v>
      </c>
      <c r="C29" s="5">
        <f t="shared" si="2"/>
        <v>0.17346394584450214</v>
      </c>
    </row>
    <row r="30" spans="1:4">
      <c r="A30" t="s">
        <v>26</v>
      </c>
      <c r="B30">
        <v>314954</v>
      </c>
      <c r="C30" s="5">
        <f t="shared" si="2"/>
        <v>0.22014056105599028</v>
      </c>
    </row>
    <row r="31" spans="1:4">
      <c r="A31" t="s">
        <v>27</v>
      </c>
      <c r="B31">
        <v>603682</v>
      </c>
      <c r="C31" s="5">
        <f t="shared" si="2"/>
        <v>0.42195017107070337</v>
      </c>
    </row>
    <row r="32" spans="1:4">
      <c r="B32">
        <f>SUM(B26:B31)</f>
        <v>1430695</v>
      </c>
      <c r="C32" s="5">
        <f>SUM(C26:C31)</f>
        <v>1</v>
      </c>
    </row>
    <row r="35" spans="1:3">
      <c r="A35" t="s">
        <v>28</v>
      </c>
      <c r="B35">
        <f>843.8*10000</f>
        <v>8438000</v>
      </c>
      <c r="C35" s="3" t="s">
        <v>29</v>
      </c>
    </row>
    <row r="36" spans="1:3">
      <c r="A36" t="s">
        <v>30</v>
      </c>
      <c r="B36">
        <v>3.5</v>
      </c>
      <c r="C36" s="3" t="s">
        <v>31</v>
      </c>
    </row>
    <row r="37" spans="1:3">
      <c r="A37" t="s">
        <v>32</v>
      </c>
      <c r="B37">
        <f>B36/365*inout_tot</f>
        <v>80912.328767123297</v>
      </c>
      <c r="C37" t="s">
        <v>33</v>
      </c>
    </row>
    <row r="38" spans="1:3">
      <c r="A38" t="s">
        <v>34</v>
      </c>
      <c r="B38">
        <f>short_inventory+B32</f>
        <v>1511607.3287671234</v>
      </c>
    </row>
    <row r="39" spans="1:3">
      <c r="A39" t="s">
        <v>35</v>
      </c>
      <c r="B39" s="2">
        <v>50</v>
      </c>
    </row>
    <row r="40" spans="1:3">
      <c r="A40" t="s">
        <v>36</v>
      </c>
      <c r="B40">
        <v>0.9</v>
      </c>
    </row>
    <row r="41" spans="1:3">
      <c r="A41" t="s">
        <v>37</v>
      </c>
      <c r="B41">
        <v>0.6</v>
      </c>
      <c r="C41" s="4" t="s">
        <v>38</v>
      </c>
    </row>
    <row r="42" spans="1:3">
      <c r="C42" s="6"/>
    </row>
    <row r="43" spans="1:3">
      <c r="A43" t="s">
        <v>39</v>
      </c>
      <c r="B43" s="2">
        <f>total_inventory*c_lang*c_mini*value</f>
        <v>40813397.876712337</v>
      </c>
      <c r="C43" s="6">
        <f>TAM/value</f>
        <v>816267.95753424673</v>
      </c>
    </row>
    <row r="44" spans="1:3">
      <c r="A44" t="s">
        <v>40</v>
      </c>
      <c r="B44" s="2">
        <f>TAM*GD_percent</f>
        <v>11938795.013601782</v>
      </c>
      <c r="C44" s="6" cm="1">
        <f t="array" ref="C44">SAM/value</f>
        <v>238775.90027203562</v>
      </c>
    </row>
    <row r="45" spans="1:3">
      <c r="A45" t="s">
        <v>41</v>
      </c>
      <c r="B45" s="2">
        <f>B44*8%</f>
        <v>955103.6010881426</v>
      </c>
      <c r="C45" s="6">
        <f>SOM/value</f>
        <v>19102.072021762851</v>
      </c>
    </row>
  </sheetData>
  <hyperlinks>
    <hyperlink ref="D1" r:id="rId1" xr:uid="{C3E830E9-C1B6-495A-BE21-42FEE55C88E6}"/>
    <hyperlink ref="D15" r:id="rId2" xr:uid="{F290DF4D-81B5-4711-961C-DA1CD3FE1F8A}"/>
    <hyperlink ref="D25" r:id="rId3" xr:uid="{BB99A23F-EB65-47F3-978B-AED70D32E7BE}"/>
    <hyperlink ref="C35" r:id="rId4" xr:uid="{EF9013FE-EBB5-42E0-BDEE-570C2B118264}"/>
    <hyperlink ref="C36" r:id="rId5" xr:uid="{670F316B-905E-47A1-A4F4-9138A76D82D7}"/>
    <hyperlink ref="C41" r:id="rId6" xr:uid="{14622BE3-5562-437A-BD6E-AA73C506CAD7}"/>
  </hyperlink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5b9779-1bcb-4613-b4bc-226ff341db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FF795925C3944B9DB26C20209A63F0" ma:contentTypeVersion="5" ma:contentTypeDescription="Create a new document." ma:contentTypeScope="" ma:versionID="6801863dd47e7c26a764732219fed3d7">
  <xsd:schema xmlns:xsd="http://www.w3.org/2001/XMLSchema" xmlns:xs="http://www.w3.org/2001/XMLSchema" xmlns:p="http://schemas.microsoft.com/office/2006/metadata/properties" xmlns:ns3="ae5b9779-1bcb-4613-b4bc-226ff341db99" targetNamespace="http://schemas.microsoft.com/office/2006/metadata/properties" ma:root="true" ma:fieldsID="b6acb8f0787aa04857aa4747f3b74d08" ns3:_="">
    <xsd:import namespace="ae5b9779-1bcb-4613-b4bc-226ff341db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b9779-1bcb-4613-b4bc-226ff341db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3A7BD8-BFA4-4666-9E26-0B48B654FE80}"/>
</file>

<file path=customXml/itemProps2.xml><?xml version="1.0" encoding="utf-8"?>
<ds:datastoreItem xmlns:ds="http://schemas.openxmlformats.org/officeDocument/2006/customXml" ds:itemID="{3C86DF93-BB12-48A2-8C8A-2410F63FB2AE}"/>
</file>

<file path=customXml/itemProps3.xml><?xml version="1.0" encoding="utf-8"?>
<ds:datastoreItem xmlns:ds="http://schemas.openxmlformats.org/officeDocument/2006/customXml" ds:itemID="{1F41CA3C-1D88-4D98-AD74-F3086D382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HUANG Kwun Hoi</dc:creator>
  <cp:keywords/>
  <dc:description/>
  <cp:lastModifiedBy>HUANG Kwun Hoi</cp:lastModifiedBy>
  <cp:revision/>
  <dcterms:created xsi:type="dcterms:W3CDTF">2024-02-24T01:18:33Z</dcterms:created>
  <dcterms:modified xsi:type="dcterms:W3CDTF">2024-02-29T02:20:03Z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0x0101003AFF795925C3944B9DB26C20209A63F0</vt:lpwstr>
  </property>
</Properties>
</file>